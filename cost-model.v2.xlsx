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Model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</cols>
  <sheetData>
    <row r="1">
      <c r="A1" s="1" t="inlineStr">
        <is>
          <t>SAYVORS COST MODEL — ASSUMPTIONS (edit yellow cells)</t>
        </is>
      </c>
      <c r="C1" t="inlineStr">
        <is>
          <t>notes</t>
        </is>
      </c>
    </row>
    <row r="3">
      <c r="A3" s="2" t="inlineStr">
        <is>
          <t>USAGE ASSUMPTIONS</t>
        </is>
      </c>
      <c r="B3" s="3" t="n"/>
    </row>
    <row r="4">
      <c r="A4" s="4" t="inlineStr">
        <is>
          <t>Monthly Active Users (MAU)</t>
        </is>
      </c>
      <c r="B4" s="3" t="n">
        <v>2000000</v>
      </c>
    </row>
    <row r="5">
      <c r="A5" s="4" t="inlineStr">
        <is>
          <t>Chat queries per user / month</t>
        </is>
      </c>
      <c r="B5" s="3" t="n">
        <v>30</v>
      </c>
    </row>
    <row r="6">
      <c r="A6" s="4" t="inlineStr">
        <is>
          <t>Avg input tokens / query (40-msg hist + RAG ctx)</t>
        </is>
      </c>
      <c r="B6" s="3" t="n">
        <v>4000</v>
      </c>
    </row>
    <row r="7">
      <c r="A7" s="4" t="inlineStr">
        <is>
          <t>Avg output tokens / query (cap 1000)</t>
        </is>
      </c>
      <c r="B7" s="3" t="n">
        <v>800</v>
      </c>
    </row>
    <row r="8">
      <c r="A8" s="4" t="inlineStr">
        <is>
          <t>New docs ingested / month</t>
        </is>
      </c>
      <c r="B8" s="3" t="n">
        <v>50000</v>
      </c>
    </row>
    <row r="9">
      <c r="A9" s="4" t="inlineStr">
        <is>
          <t>Chunks per doc</t>
        </is>
      </c>
      <c r="B9" s="3" t="n">
        <v>50</v>
      </c>
    </row>
    <row r="10">
      <c r="A10" s="4" t="inlineStr">
        <is>
          <t>Tokens per chunk</t>
        </is>
      </c>
      <c r="B10" s="3" t="n">
        <v>500</v>
      </c>
    </row>
    <row r="11">
      <c r="A11" s="4" t="inlineStr">
        <is>
          <t>Query-embedding tokens (1 embed / query)</t>
        </is>
      </c>
      <c r="B11" s="3" t="n">
        <v>500</v>
      </c>
    </row>
    <row r="12">
      <c r="A12" s="4" t="inlineStr">
        <is>
          <t>LLM provider (1=GPT-4o, 2=Claude, 3=OpenRouter)</t>
        </is>
      </c>
      <c r="B12" s="3" t="n">
        <v>1</v>
      </c>
    </row>
    <row r="13">
      <c r="A13" s="4" t="inlineStr">
        <is>
          <t>Embedding provider (1=OpenAI, 2=Ollama self-host)</t>
        </is>
      </c>
      <c r="B13" s="3" t="n">
        <v>1</v>
      </c>
    </row>
    <row r="15">
      <c r="A15" s="2" t="inlineStr">
        <is>
          <t>PRICES ($ / 1M tokens)</t>
        </is>
      </c>
      <c r="B15" s="3" t="n"/>
    </row>
    <row r="16">
      <c r="A16" s="4" t="inlineStr">
        <is>
          <t>GPT-4o input $/1M</t>
        </is>
      </c>
      <c r="B16" s="3" t="n">
        <v>5</v>
      </c>
    </row>
    <row r="17">
      <c r="A17" s="4" t="inlineStr">
        <is>
          <t>GPT-4o output $/1M</t>
        </is>
      </c>
      <c r="B17" s="3" t="n">
        <v>15</v>
      </c>
    </row>
    <row r="18">
      <c r="A18" s="4" t="inlineStr">
        <is>
          <t>Claude Sonnet input $/1M</t>
        </is>
      </c>
      <c r="B18" s="3" t="n">
        <v>3</v>
      </c>
    </row>
    <row r="19">
      <c r="A19" s="4" t="inlineStr">
        <is>
          <t>Claude Sonnet output $/1M</t>
        </is>
      </c>
      <c r="B19" s="3" t="n">
        <v>15</v>
      </c>
    </row>
    <row r="20">
      <c r="A20" s="4" t="inlineStr">
        <is>
          <t>OpenRouter markup %</t>
        </is>
      </c>
      <c r="B20" s="3" t="n">
        <v>0.1</v>
      </c>
    </row>
    <row r="21">
      <c r="A21" s="4" t="inlineStr">
        <is>
          <t>Embedding OpenAI $/1M (text-embedding-3-small)</t>
        </is>
      </c>
      <c r="B21" s="3" t="n">
        <v>0.02</v>
      </c>
    </row>
    <row r="22">
      <c r="A22" s="4" t="inlineStr">
        <is>
          <t>Embedding Ollama $/1M (bge-m3, self-host)</t>
        </is>
      </c>
      <c r="B22" s="3" t="n">
        <v>0</v>
      </c>
    </row>
    <row r="24">
      <c r="A24" s="2" t="inlineStr">
        <is>
          <t>HOSTING (generic managed, editable)</t>
        </is>
      </c>
      <c r="B24" s="3" t="n"/>
    </row>
    <row r="25">
      <c r="A25" s="4" t="inlineStr">
        <is>
          <t>Postgres + pgvector $/mo (1 managed instance)</t>
        </is>
      </c>
      <c r="B25" s="3" t="n">
        <v>400</v>
      </c>
    </row>
    <row r="26">
      <c r="A26" s="4" t="inlineStr">
        <is>
          <t>Redis $/mo</t>
        </is>
      </c>
      <c r="B26" s="3" t="n">
        <v>120</v>
      </c>
    </row>
    <row r="27">
      <c r="A27" s="4" t="inlineStr">
        <is>
          <t>Kafka / managed stream $/mo</t>
        </is>
      </c>
      <c r="B27" s="3" t="n">
        <v>200</v>
      </c>
    </row>
    <row r="28">
      <c r="A28" s="4" t="inlineStr">
        <is>
          <t>Object storage $/GB-mo</t>
        </is>
      </c>
      <c r="B28" s="3" t="n">
        <v>0.023</v>
      </c>
    </row>
    <row r="29">
      <c r="A29" s="4" t="inlineStr">
        <is>
          <t>Storage used (GB)</t>
        </is>
      </c>
      <c r="B29" s="3" t="n">
        <v>1000</v>
      </c>
    </row>
    <row r="30">
      <c r="A30" s="4" t="inlineStr">
        <is>
          <t>Compute instances</t>
        </is>
      </c>
      <c r="B30" s="3" t="n">
        <v>6</v>
      </c>
    </row>
    <row r="31">
      <c r="A31" s="4" t="inlineStr">
        <is>
          <t>$ per instance / mo</t>
        </is>
      </c>
      <c r="B31" s="3" t="n">
        <v>80</v>
      </c>
    </row>
    <row r="32">
      <c r="A32" s="4" t="inlineStr">
        <is>
          <t>Email $ per 1k</t>
        </is>
      </c>
      <c r="B32" s="3" t="n">
        <v>0.1</v>
      </c>
    </row>
    <row r="33">
      <c r="A33" s="4" t="inlineStr">
        <is>
          <t>Emails / month</t>
        </is>
      </c>
      <c r="B33" s="3" t="n">
        <v>200000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</cols>
  <sheetData>
    <row r="1">
      <c r="A1" s="1" t="inlineStr">
        <is>
          <t>COST MODEL (live formulas — do not edit)</t>
        </is>
      </c>
    </row>
    <row r="3">
      <c r="A3" s="5" t="inlineStr">
        <is>
          <t>Total chat queries / month</t>
        </is>
      </c>
      <c r="B3" s="6">
        <f>'Assumptions'!B4*'Assumptions'!B5</f>
        <v/>
      </c>
    </row>
    <row r="4">
      <c r="A4" s="5" t="inlineStr">
        <is>
          <t>Input tokens / month</t>
        </is>
      </c>
      <c r="B4" s="6">
        <f>B3*'Assumptions'!B6</f>
        <v/>
      </c>
    </row>
    <row r="5">
      <c r="A5" s="5" t="inlineStr">
        <is>
          <t>Output tokens / month</t>
        </is>
      </c>
      <c r="B5" s="6">
        <f>B3*'Assumptions'!B7</f>
        <v/>
      </c>
    </row>
    <row r="6">
      <c r="A6" s="5" t="inlineStr">
        <is>
          <t>LLM input $/1M (provider pick)</t>
        </is>
      </c>
      <c r="B6" s="7">
        <f>CHOOSE('Assumptions'!B12,'Assumptions'!B16,'Assumptions'!B18,'Assumptions'!B16*(1+'Assumptions'!B20))</f>
        <v/>
      </c>
    </row>
    <row r="7">
      <c r="A7" s="5" t="inlineStr">
        <is>
          <t>LLM output $/1M (provider pick)</t>
        </is>
      </c>
      <c r="B7" s="7">
        <f>CHOOSE('Assumptions'!B12,'Assumptions'!B17,'Assumptions'!B19,'Assumptions'!B17*(1+'Assumptions'!B20))</f>
        <v/>
      </c>
    </row>
    <row r="8">
      <c r="A8" s="5" t="inlineStr">
        <is>
          <t>LLM cost $/month</t>
        </is>
      </c>
      <c r="B8" s="6">
        <f>B4/1000000*B6 + B5/1000000*B7</f>
        <v/>
      </c>
    </row>
    <row r="9">
      <c r="A9" s="5" t="inlineStr">
        <is>
          <t>Embedding tokens / month</t>
        </is>
      </c>
      <c r="B9" s="6">
        <f>'Assumptions'!B8*'Assumptions'!B9*'Assumptions'!B10 + B3*'Assumptions'!B11</f>
        <v/>
      </c>
    </row>
    <row r="10">
      <c r="A10" s="5" t="inlineStr">
        <is>
          <t>Embedding $/1M (provider pick)</t>
        </is>
      </c>
      <c r="B10" s="7">
        <f>CHOOSE('Assumptions'!B13,'Assumptions'!B21,'Assumptions'!B22)</f>
        <v/>
      </c>
    </row>
    <row r="11">
      <c r="A11" s="5" t="inlineStr">
        <is>
          <t>Embedding cost $/month</t>
        </is>
      </c>
      <c r="B11" s="6">
        <f>B9/1000000*B10</f>
        <v/>
      </c>
    </row>
    <row r="12">
      <c r="A12" s="5" t="inlineStr">
        <is>
          <t>Hosting $/month</t>
        </is>
      </c>
      <c r="B12" s="6">
        <f>'Assumptions'!B25+'Assumptions'!B26+'Assumptions'!B27+'Assumptions'!B28*'Assumptions'!B29+'Assumptions'!B30*'Assumptions'!B31+'Assumptions'!B33/1000*'Assumptions'!B32</f>
        <v/>
      </c>
    </row>
    <row r="13">
      <c r="A13" s="5" t="inlineStr">
        <is>
          <t>TOTAL $/month</t>
        </is>
      </c>
      <c r="B13" s="8">
        <f>B8+B11+B12</f>
        <v/>
      </c>
    </row>
    <row r="14">
      <c r="A14" s="5" t="inlineStr">
        <is>
          <t>TOTAL $/year</t>
        </is>
      </c>
      <c r="B14" s="8">
        <f>B13*12</f>
        <v/>
      </c>
    </row>
    <row r="15">
      <c r="A15" s="5" t="inlineStr">
        <is>
          <t>Per-user $/month</t>
        </is>
      </c>
      <c r="B15" s="9">
        <f>B13/'Assumptions'!B4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model</t>
        </is>
      </c>
    </row>
    <row r="2">
      <c r="A2" t="inlineStr"/>
    </row>
    <row r="3">
      <c r="A3" t="inlineStr">
        <is>
          <t>1. Edit only the YELLOW cells on the 'Assumptions' sheet.</t>
        </is>
      </c>
    </row>
    <row r="4">
      <c r="A4" t="inlineStr">
        <is>
          <t>2. Totals on 'Cost Model' recompute automatically via Excel formulas.</t>
        </is>
      </c>
    </row>
    <row r="5">
      <c r="A5" t="inlineStr"/>
    </row>
    <row r="6">
      <c r="A6" t="inlineStr">
        <is>
          <t>CODE BASIS (defaults pulled from the repo):</t>
        </is>
      </c>
    </row>
    <row r="7">
      <c r="A7" t="inlineStr">
        <is>
          <t xml:space="preserve">  - LLM default model: openai:gpt-4o  (services/api/app/modules/llm/schemas.py:6,41)</t>
        </is>
      </c>
    </row>
    <row r="8">
      <c r="A8" t="inlineStr">
        <is>
          <t xml:space="preserve">  - max output tokens default: 1000   (llm/service.py:131)</t>
        </is>
      </c>
    </row>
    <row r="9">
      <c r="A9" t="inlineStr">
        <is>
          <t xml:space="preserve">  - history window: 40 messages       (llm/service.py:15)</t>
        </is>
      </c>
    </row>
    <row r="10">
      <c r="A10" t="inlineStr">
        <is>
          <t xml:space="preserve">  - embeddings: text-embedding-3-small (OpenAI) OR bge-m3 (Ollama self-host, $0)</t>
        </is>
      </c>
    </row>
    <row r="11">
      <c r="A11" t="inlineStr">
        <is>
          <t xml:space="preserve">    (rag/embeddings.py:52,25); cache TTL 30 days (rag/cache.py:11).</t>
        </is>
      </c>
    </row>
    <row r="12">
      <c r="A12" t="inlineStr"/>
    </row>
    <row r="13">
      <c r="A13" t="inlineStr">
        <is>
          <t>SWITCHING PROVIDERS:</t>
        </is>
      </c>
    </row>
    <row r="14">
      <c r="A14" t="inlineStr">
        <is>
          <t xml:space="preserve">  - LLM provider cell: 1 = GPT-4o, 2 = Claude Sonnet, 3 = OpenRouter (GPT-4o + markup%).</t>
        </is>
      </c>
    </row>
    <row r="15">
      <c r="A15" t="inlineStr">
        <is>
          <t xml:space="preserve">  - Embedding provider cell: 1 = OpenAI ($0.02/1M), 2 = Ollama self-host ($0).</t>
        </is>
      </c>
    </row>
    <row r="16">
      <c r="A16" t="inlineStr">
        <is>
          <t xml:space="preserve">  - To add a model, add a price row in Assumptions and extend the CHOOSE() lists.</t>
        </is>
      </c>
    </row>
    <row r="17">
      <c r="A17" t="inlineStr"/>
    </row>
    <row r="18">
      <c r="A18" t="inlineStr">
        <is>
          <t>SCOPE: API + hosting + embeddings + storage + email. Excludes dev salary,</t>
        </is>
      </c>
    </row>
    <row r="19">
      <c r="A19" t="inlineStr">
        <is>
          <t>one-time build, and per-tenant SSO/enterprise extras (add your own rows).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2026-08-14T10:01:50Z</dcterms:created>
  <dcterms:modified xmlns:dcterms="http://purl.org/dc/terms/" xmlns:xsi="http://www.w3.org/2001/XMLSchema-instance" xsi:type="dcterms:W3CDTF">2026-08-14T10:01:50Z</dcterms:modified>
</cp:coreProperties>
</file>