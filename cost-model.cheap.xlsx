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Prices" sheetId="2" state="visible" r:id="rId2"/>
    <sheet xmlns:r="http://schemas.openxmlformats.org/officeDocument/2006/relationships" name="Cost Model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4" fontId="4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34" customWidth="1" min="3" max="3"/>
  </cols>
  <sheetData>
    <row r="1">
      <c r="A1" s="1" t="inlineStr">
        <is>
          <t>SAYVORS CHEAP-STACK BUDGET — ASSUMPTIONS (edit yellow cells)</t>
        </is>
      </c>
    </row>
    <row r="3">
      <c r="A3" s="2" t="inlineStr">
        <is>
          <t>USAGE ASSUMPTIONS</t>
        </is>
      </c>
      <c r="B3" s="3" t="n"/>
    </row>
    <row r="4">
      <c r="A4" s="4" t="inlineStr">
        <is>
          <t>Monthly Active Users (MAU)</t>
        </is>
      </c>
      <c r="B4" s="3" t="n">
        <v>2000000</v>
      </c>
    </row>
    <row r="5">
      <c r="A5" s="4" t="inlineStr">
        <is>
          <t>Chat queries per user / month</t>
        </is>
      </c>
      <c r="B5" s="3" t="n">
        <v>30</v>
      </c>
    </row>
    <row r="6">
      <c r="A6" s="4" t="inlineStr">
        <is>
          <t>Avg input tokens / query (40-msg hist + RAG ctx)</t>
        </is>
      </c>
      <c r="B6" s="3" t="n">
        <v>4000</v>
      </c>
    </row>
    <row r="7">
      <c r="A7" s="4" t="inlineStr">
        <is>
          <t>Avg output tokens / query (cap 1000)</t>
        </is>
      </c>
      <c r="B7" s="3" t="n">
        <v>800</v>
      </c>
    </row>
    <row r="8">
      <c r="A8" s="4" t="inlineStr">
        <is>
          <t>New docs ingested / month</t>
        </is>
      </c>
      <c r="B8" s="3" t="n">
        <v>50000</v>
      </c>
    </row>
    <row r="9">
      <c r="A9" s="4" t="inlineStr">
        <is>
          <t>Chunks per doc</t>
        </is>
      </c>
      <c r="B9" s="3" t="n">
        <v>50</v>
      </c>
    </row>
    <row r="10">
      <c r="A10" s="4" t="inlineStr">
        <is>
          <t>Tokens per chunk</t>
        </is>
      </c>
      <c r="B10" s="3" t="n">
        <v>500</v>
      </c>
    </row>
    <row r="11">
      <c r="A11" s="4" t="inlineStr">
        <is>
          <t>Query-embedding tokens (1 embed / query)</t>
        </is>
      </c>
      <c r="B11" s="3" t="n">
        <v>500</v>
      </c>
    </row>
    <row r="12">
      <c r="A12" s="4" t="inlineStr">
        <is>
          <t>LLM provider (pick from dropdown)</t>
        </is>
      </c>
      <c r="B12" s="3" t="inlineStr">
        <is>
          <t>DeepSeek</t>
        </is>
      </c>
    </row>
    <row r="13">
      <c r="A13" s="4" t="inlineStr">
        <is>
          <t>Embedding provider (OpenAI / Ollama)</t>
        </is>
      </c>
      <c r="B13" s="3" t="inlineStr">
        <is>
          <t>Ollama</t>
        </is>
      </c>
    </row>
    <row r="15">
      <c r="A15" s="2" t="inlineStr">
        <is>
          <t>EMBEDDING PRICES ($ / 1M)</t>
        </is>
      </c>
      <c r="B15" s="3" t="n"/>
    </row>
    <row r="16">
      <c r="A16" s="4" t="inlineStr">
        <is>
          <t>Embedding OpenAI $/1M (text-embedding-3-small)</t>
        </is>
      </c>
      <c r="B16" s="3" t="n">
        <v>0.02</v>
      </c>
    </row>
    <row r="17">
      <c r="A17" s="4" t="inlineStr">
        <is>
          <t>Embedding Ollama $/1M (bge-m3, self-host $0)</t>
        </is>
      </c>
      <c r="B17" s="3" t="n">
        <v>0</v>
      </c>
    </row>
    <row r="19">
      <c r="A19" s="2" t="inlineStr">
        <is>
          <t>HOSTING — GCP me-central2 (Dammam, KSA)</t>
        </is>
      </c>
      <c r="B19" s="3" t="n"/>
    </row>
    <row r="20">
      <c r="A20" s="4" t="inlineStr">
        <is>
          <t>Cloud SQL Postgres + pgvector $/mo</t>
        </is>
      </c>
      <c r="B20" s="3" t="n">
        <v>250</v>
      </c>
    </row>
    <row r="21">
      <c r="A21" s="4" t="inlineStr">
        <is>
          <t>Memorystore Redis $/mo</t>
        </is>
      </c>
      <c r="B21" s="3" t="n">
        <v>80</v>
      </c>
    </row>
    <row r="22">
      <c r="A22" s="4" t="inlineStr">
        <is>
          <t>Streaming $/mo (Pub/Sub or Kafka-on-GKE)</t>
        </is>
      </c>
      <c r="B22" s="3" t="n">
        <v>80</v>
      </c>
    </row>
    <row r="23">
      <c r="A23" s="4" t="inlineStr">
        <is>
          <t>Object storage (GCS) $/GB-mo</t>
        </is>
      </c>
      <c r="B23" s="3" t="n">
        <v>0.022</v>
      </c>
    </row>
    <row r="24">
      <c r="A24" s="4" t="inlineStr">
        <is>
          <t>Storage used (GB)</t>
        </is>
      </c>
      <c r="B24" s="3" t="n">
        <v>1000</v>
      </c>
    </row>
    <row r="25">
      <c r="A25" s="4" t="inlineStr">
        <is>
          <t>Compute instances (GCE/Cloud Run)</t>
        </is>
      </c>
      <c r="B25" s="3" t="n">
        <v>6</v>
      </c>
    </row>
    <row r="26">
      <c r="A26" s="4" t="inlineStr">
        <is>
          <t>$ per instance / mo</t>
        </is>
      </c>
      <c r="B26" s="3" t="n">
        <v>50</v>
      </c>
    </row>
    <row r="27">
      <c r="A27" s="4" t="inlineStr">
        <is>
          <t>Email $ per 1k</t>
        </is>
      </c>
      <c r="B27" s="3" t="n">
        <v>0.1</v>
      </c>
    </row>
    <row r="28">
      <c r="A28" s="4" t="inlineStr">
        <is>
          <t>Emails / month</t>
        </is>
      </c>
      <c r="B28" s="3" t="n">
        <v>200000</v>
      </c>
    </row>
  </sheetData>
  <mergeCells count="1">
    <mergeCell ref="A1:B1"/>
  </mergeCells>
  <dataValidations count="2">
    <dataValidation sqref="B12" showDropDown="0" showInputMessage="0" showErrorMessage="0" allowBlank="0" type="list">
      <formula1>"DeepSeek,Qwen3-235B,Kimi (Moonshot),z.ai GLM-4.5-Air,z.ai GLM-4.5,GPT-4o,Claude Sonnet"</formula1>
    </dataValidation>
    <dataValidation sqref="B13" showDropDown="0" showInputMessage="0" showErrorMessage="0" allowBlank="0" type="list">
      <formula1>"OpenAI,Ollama"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1" t="inlineStr">
        <is>
          <t>LLM MODEL PRICES ($ / 1M tokens) — edit freely, add rows</t>
        </is>
      </c>
    </row>
    <row r="3">
      <c r="A3" s="5" t="inlineStr">
        <is>
          <t>Provider</t>
        </is>
      </c>
      <c r="B3" s="5" t="inlineStr">
        <is>
          <t>Input $/1M</t>
        </is>
      </c>
      <c r="C3" s="5" t="inlineStr">
        <is>
          <t>Output $/1M</t>
        </is>
      </c>
    </row>
    <row r="4">
      <c r="A4" t="inlineStr">
        <is>
          <t>GPT-4o</t>
        </is>
      </c>
      <c r="B4" s="6" t="n">
        <v>5</v>
      </c>
      <c r="C4" s="6" t="n">
        <v>15</v>
      </c>
    </row>
    <row r="5">
      <c r="A5" t="inlineStr">
        <is>
          <t>Claude Sonnet</t>
        </is>
      </c>
      <c r="B5" s="6" t="n">
        <v>3</v>
      </c>
      <c r="C5" s="6" t="n">
        <v>15</v>
      </c>
    </row>
    <row r="6">
      <c r="A6" t="inlineStr">
        <is>
          <t>DeepSeek</t>
        </is>
      </c>
      <c r="B6" s="6" t="n">
        <v>0.27</v>
      </c>
      <c r="C6" s="6" t="n">
        <v>1.1</v>
      </c>
    </row>
    <row r="7">
      <c r="A7" t="inlineStr">
        <is>
          <t>Qwen3-235B</t>
        </is>
      </c>
      <c r="B7" s="6" t="n">
        <v>0.3</v>
      </c>
      <c r="C7" s="6" t="n">
        <v>0.6</v>
      </c>
    </row>
    <row r="8">
      <c r="A8" t="inlineStr">
        <is>
          <t>Kimi (Moonshot)</t>
        </is>
      </c>
      <c r="B8" s="6" t="n">
        <v>0.3</v>
      </c>
      <c r="C8" s="6" t="n">
        <v>1.2</v>
      </c>
    </row>
    <row r="9">
      <c r="A9" t="inlineStr">
        <is>
          <t>z.ai GLM-4.5-Air</t>
        </is>
      </c>
      <c r="B9" s="6" t="n">
        <v>0.1</v>
      </c>
      <c r="C9" s="6" t="n">
        <v>0.3</v>
      </c>
    </row>
    <row r="10">
      <c r="A10" t="inlineStr">
        <is>
          <t>z.ai GLM-4.5</t>
        </is>
      </c>
      <c r="B10" s="6" t="n">
        <v>0.3</v>
      </c>
      <c r="C10" s="6" t="n">
        <v>0.9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</cols>
  <sheetData>
    <row r="1">
      <c r="A1" s="1" t="inlineStr">
        <is>
          <t>COST MODEL (live formulas — do not edit)</t>
        </is>
      </c>
    </row>
    <row r="3">
      <c r="A3" s="7" t="inlineStr">
        <is>
          <t>Total chat queries / month</t>
        </is>
      </c>
      <c r="B3" s="8">
        <f>'Assumptions'!B4*'Assumptions'!B5</f>
        <v/>
      </c>
    </row>
    <row r="4">
      <c r="A4" s="7" t="inlineStr">
        <is>
          <t>Input tokens / month</t>
        </is>
      </c>
      <c r="B4" s="8">
        <f>B3*'Assumptions'!B6</f>
        <v/>
      </c>
    </row>
    <row r="5">
      <c r="A5" s="7" t="inlineStr">
        <is>
          <t>Output tokens / month</t>
        </is>
      </c>
      <c r="B5" s="8">
        <f>B3*'Assumptions'!B7</f>
        <v/>
      </c>
    </row>
    <row r="6">
      <c r="A6" s="7" t="inlineStr">
        <is>
          <t>LLM input $/1M (provider pick)</t>
        </is>
      </c>
      <c r="B6" s="9">
        <f>VLOOKUP('Assumptions'!B12,ModelPrices!$A$4:$C$10,2,FALSE)</f>
        <v/>
      </c>
    </row>
    <row r="7">
      <c r="A7" s="7" t="inlineStr">
        <is>
          <t>LLM output $/1M (provider pick)</t>
        </is>
      </c>
      <c r="B7" s="9">
        <f>VLOOKUP('Assumptions'!B12,ModelPrices!$A$4:$C$10,3,FALSE)</f>
        <v/>
      </c>
    </row>
    <row r="8">
      <c r="A8" s="7" t="inlineStr">
        <is>
          <t>LLM cost $/month</t>
        </is>
      </c>
      <c r="B8" s="8">
        <f>B4/1000000*B6 + B5/1000000*B7</f>
        <v/>
      </c>
    </row>
    <row r="9">
      <c r="A9" s="7" t="inlineStr">
        <is>
          <t>Embedding tokens / month</t>
        </is>
      </c>
      <c r="B9" s="8">
        <f>'Assumptions'!B8*'Assumptions'!B9*'Assumptions'!B10 + B3*'Assumptions'!B11</f>
        <v/>
      </c>
    </row>
    <row r="10">
      <c r="A10" s="7" t="inlineStr">
        <is>
          <t>Embedding $/1M (provider pick)</t>
        </is>
      </c>
      <c r="B10" s="9">
        <f>IF('Assumptions'!B13="Ollama",'Assumptions'!B17,'Assumptions'!B16)</f>
        <v/>
      </c>
    </row>
    <row r="11">
      <c r="A11" s="7" t="inlineStr">
        <is>
          <t>Embedding cost $/month</t>
        </is>
      </c>
      <c r="B11" s="8">
        <f>B9/1000000*B10</f>
        <v/>
      </c>
    </row>
    <row r="12">
      <c r="A12" s="7" t="inlineStr">
        <is>
          <t>Hosting $/month</t>
        </is>
      </c>
      <c r="B12" s="8">
        <f>'Assumptions'!B20+'Assumptions'!B21+'Assumptions'!B22+'Assumptions'!B23*'Assumptions'!B24+'Assumptions'!B25*'Assumptions'!B26+'Assumptions'!B28/1000*'Assumptions'!B27</f>
        <v/>
      </c>
    </row>
    <row r="13">
      <c r="A13" s="7" t="inlineStr">
        <is>
          <t>TOTAL $/month</t>
        </is>
      </c>
      <c r="B13" s="10">
        <f>B8+B11+B12</f>
        <v/>
      </c>
    </row>
    <row r="14">
      <c r="A14" s="7" t="inlineStr">
        <is>
          <t>TOTAL $/year</t>
        </is>
      </c>
      <c r="B14" s="10">
        <f>B13*12</f>
        <v/>
      </c>
    </row>
    <row r="15">
      <c r="A15" s="7" t="inlineStr">
        <is>
          <t>Per-user $/month</t>
        </is>
      </c>
      <c r="B15" s="11">
        <f>B13/'Assumptions'!B4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use this model</t>
        </is>
      </c>
    </row>
    <row r="2">
      <c r="A2" t="inlineStr"/>
    </row>
    <row r="3">
      <c r="A3" t="inlineStr">
        <is>
          <t>Edit only the YELLOW cells on 'Assumptions'. Totals recompute live.</t>
        </is>
      </c>
    </row>
    <row r="4">
      <c r="A4" t="inlineStr"/>
    </row>
    <row r="5">
      <c r="A5" t="inlineStr">
        <is>
          <t>CHEAP LLM PICKS (dropdown in B12) — prices on 'ModelPrices' (per 1M tokens):</t>
        </is>
      </c>
    </row>
    <row r="6">
      <c r="A6" t="inlineStr">
        <is>
          <t xml:space="preserve">  DeepSeek         0.27 in / 1.10 out</t>
        </is>
      </c>
    </row>
    <row r="7">
      <c r="A7" t="inlineStr">
        <is>
          <t xml:space="preserve">  Qwen3-235B       0.30 in / 0.60 out</t>
        </is>
      </c>
    </row>
    <row r="8">
      <c r="A8" t="inlineStr">
        <is>
          <t xml:space="preserve">  Kimi (Moonshot)  0.30 in / 1.20 out</t>
        </is>
      </c>
    </row>
    <row r="9">
      <c r="A9" t="inlineStr">
        <is>
          <t xml:space="preserve">  z.ai GLM-4.5-Air 0.10 in / 0.30 out   &lt;-- cheapest</t>
        </is>
      </c>
    </row>
    <row r="10">
      <c r="A10" t="inlineStr">
        <is>
          <t xml:space="preserve">  z.ai GLM-4.5     0.30 in / 0.90 out</t>
        </is>
      </c>
    </row>
    <row r="11">
      <c r="A11" t="inlineStr">
        <is>
          <t xml:space="preserve">  (GPT-4o / Claude included only for comparison — 10-50x more expensive)</t>
        </is>
      </c>
    </row>
    <row r="12">
      <c r="A12" t="inlineStr"/>
    </row>
    <row r="13">
      <c r="A13" t="inlineStr">
        <is>
          <t>EMBEDDINGS: pick 'Ollama' (self-hosted bge-m3, $0) on B13 to zero embedding cost.</t>
        </is>
      </c>
    </row>
    <row r="14">
      <c r="A14" t="inlineStr"/>
    </row>
    <row r="15">
      <c r="A15" t="inlineStr">
        <is>
          <t>HOSTING: GCP me-central2 (Dammam, Saudi Arabia) managed defaults.</t>
        </is>
      </c>
    </row>
    <row r="16">
      <c r="A16" t="inlineStr">
        <is>
          <t xml:space="preserve">  Swap for your real GCP quote; all cells editable.</t>
        </is>
      </c>
    </row>
    <row r="17">
      <c r="A17" t="inlineStr"/>
    </row>
    <row r="18">
      <c r="A18" t="inlineStr">
        <is>
          <t>CODE BASIS (defaults from repo):</t>
        </is>
      </c>
    </row>
    <row r="19">
      <c r="A19" t="inlineStr">
        <is>
          <t xml:space="preserve">  LLM default gpt-4o, max output 1000, 40-msg history (services/api/.../llm/).</t>
        </is>
      </c>
    </row>
    <row r="20">
      <c r="A20" t="inlineStr">
        <is>
          <t xml:space="preserve">  embeddings text-embedding-3-small OR Ollama bge-m3; 30-day cache.</t>
        </is>
      </c>
    </row>
    <row r="21">
      <c r="A21" t="inlineStr"/>
    </row>
    <row r="22">
      <c r="A22" t="inlineStr">
        <is>
          <t>To add a model: add a row in ModelPrices and it appears in the dropdown automatically</t>
        </is>
      </c>
    </row>
    <row r="23">
      <c r="A23" t="inlineStr">
        <is>
          <t>(extend the dropdown list string in build_cost_model.py if needed).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2026-08-14T10:04:20Z</dcterms:created>
  <dcterms:modified xmlns:dcterms="http://purl.org/dc/terms/" xmlns:xsi="http://www.w3.org/2001/XMLSchema-instance" xsi:type="dcterms:W3CDTF">2026-08-14T10:04:20Z</dcterms:modified>
</cp:coreProperties>
</file>